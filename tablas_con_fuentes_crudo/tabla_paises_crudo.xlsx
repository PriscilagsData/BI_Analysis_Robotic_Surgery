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569b11a287a01cd/Documentos/Files freelance/NoCountry_2026/Tablas/"/>
    </mc:Choice>
  </mc:AlternateContent>
  <xr:revisionPtr revIDLastSave="120" documentId="8_{894D60BE-714D-4951-B8BC-B5D9AEF96DD6}" xr6:coauthVersionLast="47" xr6:coauthVersionMax="47" xr10:uidLastSave="{9806C9A9-7B25-4D3C-821A-F83E4D23FA66}"/>
  <bookViews>
    <workbookView xWindow="-110" yWindow="-110" windowWidth="19420" windowHeight="11500" xr2:uid="{199891F9-8484-4AF5-8658-BED3442318ED}"/>
  </bookViews>
  <sheets>
    <sheet name="Pai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11" i="1"/>
  <c r="K14" i="1"/>
  <c r="L14" i="1"/>
  <c r="L6" i="1" l="1"/>
  <c r="L4" i="1"/>
  <c r="K4" i="1"/>
  <c r="D20" i="1"/>
  <c r="D19" i="1"/>
  <c r="D17" i="1"/>
  <c r="D16" i="1"/>
  <c r="D15" i="1"/>
  <c r="H14" i="1"/>
  <c r="D14" i="1"/>
  <c r="H13" i="1"/>
  <c r="H12" i="1"/>
  <c r="H11" i="1"/>
  <c r="E11" i="1"/>
  <c r="D11" i="1"/>
  <c r="H10" i="1"/>
  <c r="G10" i="1"/>
  <c r="D9" i="1"/>
  <c r="E8" i="1"/>
  <c r="F8" i="1" s="1"/>
  <c r="H7" i="1"/>
  <c r="D7" i="1"/>
  <c r="G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tc={A0E4FAB0-7506-4FB7-8E66-DA6D922F8A7F}</author>
    <author>tc={7E727874-8406-430A-BFB1-0ED81D36DABC}</author>
    <author>tc={47A3B36D-FD68-4128-8F9C-C4E77F5B92BD}</author>
    <author>tc={84E3F611-E978-48CB-8923-09BE9C999598}</author>
    <author>tc={AA7089ED-0215-4D6D-AF56-2EA84380FC59}</author>
    <author>tc={8F96D904-1238-4FBE-8D8F-D34E92A1C650}</author>
    <author>tc={46A9D232-E275-428A-A5AF-A810BADF5B84}</author>
    <author>tc={13319194-1A92-4A59-93EE-A3AB14CD3D76}</author>
    <author>tc={9ECA97EF-1124-46BD-81EE-12C2E730EB78}</author>
    <author>tc={C9C72A99-D0A5-4130-AAB7-C0DB1C6733C0}</author>
    <author>tc={881E9A00-21B7-4541-82F3-643220E68ABB}</author>
    <author>tc={A8B4DC4F-6B25-4CBF-AE8F-124AA327311B}</author>
    <author>tc={880D2D91-26F5-41B4-AC38-940D1EF8C3E2}</author>
    <author>tc={53B47B52-555C-425B-BB01-99A3F8553272}</author>
    <author>tc={9C0175CB-B798-40AE-821D-2A7C75F231BB}</author>
    <author>tc={250C1EE4-0660-49B8-B717-49B513BECCDD}</author>
    <author>tc={BB2A534A-5CB2-4499-9993-DB610F7B5D3A}</author>
    <author>tc={3571A4DC-B8CF-4E0E-ABF2-B8DDBD2ED14E}</author>
    <author>tc={BBE11827-2663-46DB-8757-47630C317060}</author>
    <author>tc={F01DF7E3-3283-4D35-BEB2-2C84C0E5CAB7}</author>
    <author>tc={EA889E17-0CBD-461E-84E7-D837E7B0DB85}</author>
    <author>tc={02638B32-64C1-4D25-9D61-13A19BDCDC44}</author>
    <author>tc={E100E53A-8270-441C-A6BE-41BC617FBC06}</author>
    <author>tc={8FA7669C-F477-478F-AB66-CCADF25C1BD7}</author>
    <author>tc={39FC67D3-699B-493A-8F78-23EEDF03846E}</author>
    <author>tc={E40ABA8F-F40E-4B91-8F3C-B60C529F8D3A}</author>
    <author>tc={BE193559-1B73-4EAE-9C2B-C1FE6C71D526}</author>
    <author>tc={9054BB77-5D86-442F-A97F-D6FD743DDFAA}</author>
    <author>tc={9AB20693-2265-4837-A6D5-3A0AF10B2D83}</author>
    <author>tc={9ABD31D9-00B7-47E5-AA62-89FC2F03CF3F}</author>
    <author>tc={12303419-FC73-4D2F-90EA-3FA9F69C0BEC}</author>
    <author>tc={C90C2EB9-A539-479D-A39A-F3AC6CE7CA2A}</author>
    <author>tc={5C31CCF8-190C-469B-961F-B03256C326FA}</author>
    <author>tc={2FF1FA28-4DBA-4155-BFB1-4AB7EB5AF633}</author>
  </authors>
  <commentList>
    <comment ref="D1" authorId="0" shapeId="0" xr:uid="{A0E4FAB0-7506-4FB7-8E66-DA6D922F8A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https://www.hospitalitaliano.org.ar/hiba/files/2025-06/Reporte%20HospiRank%202025%20%281%29.pdf
Arg, Brasil, México, Colombia, Perú, Chile</t>
      </text>
    </comment>
    <comment ref="K2" authorId="1" shapeId="0" xr:uid="{7E727874-8406-430A-BFB1-0ED81D36DA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2024 
https://www.prensa-latina.cu/2025/06/04/brasil-batio-marca-de-trasplantes-de-organos-en-2024/#:~:text=Brasilia%2C%204%20jun%20(Prensa%20Latina,Ministerio%20de%20Salud%2C%20publicados%20hoy.&amp;text=La%20marca%20anterior%20se%20registr%C3%B3,se%20realizaron%2028%20mil%20700.</t>
      </text>
    </comment>
    <comment ref="K3" authorId="2" shapeId="0" xr:uid="{47A3B36D-FD68-4128-8F9C-C4E77F5B92B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https://www.unotv.com/salud/confirman-mas-de-3-mil-trasplantes-de-organos-en-2025-cuales-fueron-los-mas-comunes-en-mexico/</t>
      </text>
    </comment>
    <comment ref="K4" authorId="3" shapeId="0" xr:uid="{84E3F611-E978-48CB-8923-09BE9C9995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Escalado a 12 meses (https://www.radionacional.co/actualidad/salud/dia-mundial-de-la-donacion-de-organos-y-tejidos-2025)</t>
      </text>
    </comment>
    <comment ref="L5" authorId="4" shapeId="0" xr:uid="{AA7089ED-0215-4D6D-AF56-2EA84380FC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https://www.argentina.gob.ar/noticias/argentina-supero-la-cifra-historica-de-donantes-de-organos-y-de-trasplantes-realizados-en</t>
      </text>
    </comment>
    <comment ref="K6" authorId="5" shapeId="0" xr:uid="{8F96D904-1238-4FBE-8D8F-D34E92A1C6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https://www.gob.pe/institucion/minsa/noticias/1318426-minsa-realiza-mas-de-3500-trasplantes-de-organos-y-tejidos-al-2025
https://larepublica.pe/sociedad/2026/01/05/el-reto-de-obtener-un-trasplante-de-organo-en-el-peru-hay-solo-18-donantes-por-millon-a-nivel-nacional-ntpe-84304</t>
      </text>
    </comment>
    <comment ref="G7" authorId="6" shapeId="0" xr:uid="{46A9D232-E275-428A-A5AF-A810BADF5B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 promedio de quirófanos operativos fue de 4 por hospital
https://www.encuestanacionaldehospitales.com/_files/ugd/0f3ae5_d25be9c6114c46f18e2b825aab376c00.pdf</t>
      </text>
    </comment>
    <comment ref="H7" authorId="7" shapeId="0" xr:uid="{13319194-1A92-4A59-93EE-A3AB14CD3D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0.9 camas por 1000 habitantes
https://saludpublica.mx/index.php/spm/article/view/5048/10031</t>
      </text>
    </comment>
    <comment ref="L7" authorId="8" shapeId="0" xr:uid="{9ECA97EF-1124-46BD-81EE-12C2E730EB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Estimado de fuentes - en decrecimiento</t>
      </text>
    </comment>
    <comment ref="L8" authorId="9" shapeId="0" xr:uid="{C9C72A99-D0A5-4130-AAB7-C0DB1C6733C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2024 https://www.ispch.gob.cl/wp-content/uploads/2025/11/Registro-Nacional-de-Trasplante-Informe-2024.pdf</t>
      </text>
    </comment>
    <comment ref="D9" authorId="10" shapeId="0" xr:uid="{881E9A00-21B7-4541-82F3-643220E68A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https://www.congreso.gob.gt/noticias_congreso/15217/2026/3
Respuesta:
    https://www.centroamerica360.com/region/guatemala-es-el-pais-centroamericano-con-mayor-numero-de-hospitales-publicos/?utm_source=chatgpt.com</t>
      </text>
    </comment>
    <comment ref="D10" authorId="11" shapeId="0" xr:uid="{A8B4DC4F-6B25-4CBF-AE8F-124AA32731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https://www.ecuadorencifras.gob.ec/documentos/web-inec/Estadisticas_Sociales/Camas_Egresos_Hospitalarios/Cam_Egre_Hos_2019/Presentacion%20ECEH_2019.pdf#:~:text=Camas%20disponibles%20En%20el%20Ecuador%2C%20para%20el,un%20total%20de%209.711%20camas%20hospitalarias%20disponibles.</t>
      </text>
    </comment>
    <comment ref="G10" authorId="12" shapeId="0" xr:uid="{880D2D91-26F5-41B4-AC38-940D1EF8C3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https://www.ecuadorencifras.gob.ec/documentos/web-inec/Estadisticas_Sociales/Recursos_Actividades_de_Salud/RAS%1F_2020/Principales_resultado_RAS_2020.pdf</t>
      </text>
    </comment>
    <comment ref="K10" authorId="13" shapeId="0" xr:uid="{53B47B52-555C-425B-BB01-99A3F855327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http://www.donaciontrasplante.gob.ec/indot/wp-content/uploads/2026/01/TRASPLANTES-ENERO-DICIEMBRE-2025.pdf</t>
      </text>
    </comment>
    <comment ref="D11" authorId="14" shapeId="0" xr:uid="{9C0175CB-B798-40AE-821D-2A7C75F231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https://ahoradigital.net/sociedad/02/05/2020/bolivia-precisa-115-hospitales-mas-para-cumplir-parametros-de-oms/?utm_source=chatgpt.com</t>
      </text>
    </comment>
    <comment ref="H11" authorId="15" shapeId="0" xr:uid="{250C1EE4-0660-49B8-B717-49B513BECC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https://es.wikipedia.org/wiki/Sistema_de_Salud_de_Bolivia</t>
      </text>
    </comment>
    <comment ref="I11" authorId="16" shapeId="0" xr:uid="{BB2A534A-5CB2-4499-9993-DB610F7B5D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https://efe.com/salud/2025-02-06/medicos-latinos-cirugia-robotica-brasil/</t>
      </text>
    </comment>
    <comment ref="L11" authorId="17" shapeId="0" xr:uid="{3571A4DC-B8CF-4E0E-ABF2-B8DDBD2ED1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Estiman 5-6 mensuales https://www.minsalud.gob.bo/8098-salud-reactiva-con-exito-trasplantes-renales-gratuitos-en-santa-cruz</t>
      </text>
    </comment>
    <comment ref="H12" authorId="18" shapeId="0" xr:uid="{BBE11827-2663-46DB-8757-47630C3170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7 camas cada 10.000 habitantes https://www.scielo.org.mx/scielo.php?script=sci_arttext&amp;pid=S0036-36342020000300298#:~:text=Hait%C3%AD%20contaba%20en%202016%20con,y%20centros%20de%20salud%20comunitarios.
Respuesta:
    https://pmc.ncbi.nlm.nih.gov/articles/PMC12754797/#:~:text=La%20Evaluaci%C3%B3n%20de%20la%20Prestaci%C3%B3n,ilustra%20en%20la%20Figura%202%20.</t>
      </text>
    </comment>
    <comment ref="D13" authorId="19" shapeId="0" xr:uid="{F01DF7E3-3283-4D35-BEB2-2C84C0E5CA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https://www.scielo.org.mx/scielo.php?script=sci_arttext&amp;pid=S0036-36342011000800012#:~:text=La%20asistencia%20m%C3%A9dica%20se%20brinda,centros%20laborales%20y%20centros%20educacionales.</t>
      </text>
    </comment>
    <comment ref="H13" authorId="20" shapeId="0" xr:uid="{EA889E17-0CBD-461E-84E7-D837E7B0DB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https://es.wikipedia.org/wiki/Anexo:Indicadores_de_salud_en_Latinoam%C3%A9rica</t>
      </text>
    </comment>
    <comment ref="E14" authorId="21" shapeId="0" xr:uid="{02638B32-64C1-4D25-9D61-13A19BDCDC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https://listindiario.com/la-republica/sector-salud/20250108/poblacion-dominicana-prefiere-centros-salud-privados_840522.html</t>
      </text>
    </comment>
    <comment ref="H14" authorId="22" shapeId="0" xr:uid="{E100E53A-8270-441C-A6BE-41BC617FBC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https://www.facebook.com/informandord/posts/la-red-de-hospitales-p%C3%BAblicos-y-privados-de-la-rep%C3%BAblica-dominicana-dispone-de-1/3025258607798500/</t>
      </text>
    </comment>
    <comment ref="K14" authorId="23" shapeId="0" xr:uid="{8FA7669C-F477-478F-AB66-CCADF25C1B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acento.com.do/salud/hasta-octubre-se-han-realizado-38-trasplantes-de-rinon-en-el-pais-9585039.html?fbclid=IwY2xjawQMJWNleHRuA2FlbQIxMABicmlkETJINHNDQ3dQcDRTdmNLb0Rqc3J0YwZhcHBfaWQQMjIyMDM5MTc4ODIwMDg5MgABHsKnUL1MuMscCyjMmly-Lwq-s-7jF4uViUg2TWIkATTTyVdJT89VVw9NJiNY_aem_OeSJq-sHa5hbxpVr_jyVmg</t>
      </text>
    </comment>
    <comment ref="D15" authorId="24" shapeId="0" xr:uid="{39FC67D3-699B-493A-8F78-23EEDF0384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D16" authorId="25" shapeId="0" xr:uid="{E40ABA8F-F40E-4B91-8F3C-B60C529F8D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D17" authorId="26" shapeId="0" xr:uid="{BE193559-1B73-4EAE-9C2B-C1FE6C71D5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L18" authorId="27" shapeId="0" xr:uid="{9054BB77-5D86-442F-A97F-D6FD743DDF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lanacion.com.py/pais/2026/01/16/el-2025-cerro-con-163-pacientes-trasplantados-y-en-lista-de-espera-287-personas/#:~:text=2026%2C%207:26-,El%202025%20cerr%C3%B3%20con%20163%20pacientes%20trasplantados,lista%20de%20espera%20287%20personas&amp;text=Durante%20el%202025%20se%20llevaron,tambi%C3%A9n%20benefici%C3%B3%20a%205%20ni%C3%B1os.&amp;text=semana%2C%20seg%C3%BAn%20Meteorolog%C3%ADa-,En%20cuanto%20a%20pacientes%20en%20lista%20de%20espera%2C%20de%20los,4%20de%20la%20franja%20infantil.</t>
      </text>
    </comment>
    <comment ref="D19" authorId="28" shapeId="0" xr:uid="{9AB20693-2265-4837-A6D5-3A0AF10B2D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K19" authorId="29" shapeId="0" xr:uid="{9ABD31D9-00B7-47E5-AA62-89FC2F03CF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2024
https://crhoy.com/nacionales/trasplantes-de-organos-crecieron-entre-un-38-y-un-100-el-ultimo-ano/</t>
      </text>
    </comment>
    <comment ref="D20" authorId="30" shapeId="0" xr:uid="{12303419-FC73-4D2F-90EA-3FA9F69C0BE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https://www.centroamerica360.com/region/guatemala-es-el-pais-centroamericano-con-mayor-numero-de-hospitales-publicos/?utm_source=chatgpt.com</t>
      </text>
    </comment>
    <comment ref="L20" authorId="31" shapeId="0" xr:uid="{C90C2EB9-A539-479D-A39A-F3AC6CE7CA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https://www.instagram.com/p/DFWg2zTtASE/</t>
      </text>
    </comment>
    <comment ref="D21" authorId="32" shapeId="0" xr:uid="{5C31CCF8-190C-469B-961F-B03256C326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2002 https://es.scribd.com/document/873539516/Sistemas-de-salud-de-la-Republica-del-Uruguay</t>
      </text>
    </comment>
    <comment ref="K21" authorId="33" shapeId="0" xr:uid="{2FF1FA28-4DBA-4155-BFB1-4AB7EB5AF6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elpais.com.uy/informacion/salud/leve-suba-de-trasplantes-de-organos-en-2025-y-nuevo-incremento-en-la-lista-de-espera-segun-datos-oficiales</t>
      </text>
    </comment>
  </commentList>
</comments>
</file>

<file path=xl/sharedStrings.xml><?xml version="1.0" encoding="utf-8"?>
<sst xmlns="http://schemas.openxmlformats.org/spreadsheetml/2006/main" count="52" uniqueCount="34">
  <si>
    <t>id_pais</t>
  </si>
  <si>
    <t>población</t>
  </si>
  <si>
    <t>cantidad_hospitales</t>
  </si>
  <si>
    <t>hosp_publicos</t>
  </si>
  <si>
    <t>hosp_privados</t>
  </si>
  <si>
    <t>cant_quirofanos</t>
  </si>
  <si>
    <t>camas_hospitalarias</t>
  </si>
  <si>
    <t>robots_en_hosp_publicos</t>
  </si>
  <si>
    <t>Brasil</t>
  </si>
  <si>
    <t>Si</t>
  </si>
  <si>
    <t>México</t>
  </si>
  <si>
    <t>Colombia</t>
  </si>
  <si>
    <t>Argentina</t>
  </si>
  <si>
    <t>Perú</t>
  </si>
  <si>
    <t>Venezuela</t>
  </si>
  <si>
    <t>No</t>
  </si>
  <si>
    <t>Chile</t>
  </si>
  <si>
    <t>Guatemala</t>
  </si>
  <si>
    <t>Ecuador</t>
  </si>
  <si>
    <t>Bolivia</t>
  </si>
  <si>
    <t>Haití</t>
  </si>
  <si>
    <t>Cuba</t>
  </si>
  <si>
    <t>Rep Dominicana</t>
  </si>
  <si>
    <t>Honduras</t>
  </si>
  <si>
    <t>Nicaragua</t>
  </si>
  <si>
    <t>El Salvador</t>
  </si>
  <si>
    <t>Paraguay</t>
  </si>
  <si>
    <t>Costa Rica</t>
  </si>
  <si>
    <t>Panamá</t>
  </si>
  <si>
    <t>Uruguay</t>
  </si>
  <si>
    <t>transplantes_anuales_actualiz</t>
  </si>
  <si>
    <t>transplantes_riñon_anuales_actualiz</t>
  </si>
  <si>
    <t>cant_pacientes_renales_2026</t>
  </si>
  <si>
    <t>nombre_pais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</si>
</sst>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80809"/>
      <name val="Segoe UI Historic"/>
      <family val="2"/>
    </font>
    <font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scila Gutierrez Sidoli" id="{FA2479FA-D6EA-44F4-B528-1CFBB039C03D}" userId="f569b11a287a01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2-22T23:17:25.52" personId="{FA2479FA-D6EA-44F4-B528-1CFBB039C03D}" id="{A0E4FAB0-7506-4FB7-8E66-DA6D922F8A7F}">
    <text>https://www.hospitalitaliano.org.ar/hiba/files/2025-06/Reporte%20HospiRank%202025%20%281%29.pdf
Arg, Brasil, México, Colombia, Perú, Chile</text>
    <extLst>
      <x:ext xmlns:xltc2="http://schemas.microsoft.com/office/spreadsheetml/2020/threadedcomments2" uri="{F7C98A9C-CBB3-438F-8F68-D28B6AF4A901}">
        <xltc2:checksum>442826204</xltc2:checksum>
        <xltc2:hyperlink startIndex="0" length="95" url="https://www.hospitalitaliano.org.ar/hiba/files/2025-06/Reporte%20HospiRank%202025%20%281%29.pdf"/>
      </x:ext>
    </extLst>
  </threadedComment>
  <threadedComment ref="K2" dT="2026-02-24T18:29:44.37" personId="{FA2479FA-D6EA-44F4-B528-1CFBB039C03D}" id="{7E727874-8406-430A-BFB1-0ED81D36DABC}">
    <text>2024 
https://www.prensa-latina.cu/2025/06/04/brasil-batio-marca-de-trasplantes-de-organos-en-2024/#:~:text=Brasilia%2C%204%20jun%20(Prensa%20Latina,Ministerio%20de%20Salud%2C%20publicados%20hoy.&amp;text=La%20marca%20anterior%20se%20registr%C3%B3,se%20realizaron%2028%20mil%20700.</text>
    <extLst>
      <x:ext xmlns:xltc2="http://schemas.microsoft.com/office/spreadsheetml/2020/threadedcomments2" uri="{F7C98A9C-CBB3-438F-8F68-D28B6AF4A901}">
        <xltc2:checksum>617508391</xltc2:checksum>
        <xltc2:hyperlink startIndex="6" length="270" url="https://www.prensa-latina.cu/2025/06/04/brasil-batio-marca-de-trasplantes-de-organos-en-2024/#:~:text=Brasilia%2C%204%20jun%20(Prensa%20Latina,Ministerio%20de%20Salud%2C%20publicados%20hoy.&amp;text=La%20marca%20anterior%20se%20registr%C3%B3,se%20realizaron%2028%20mil%20700"/>
      </x:ext>
    </extLst>
  </threadedComment>
  <threadedComment ref="K3" dT="2026-02-24T18:34:19.99" personId="{FA2479FA-D6EA-44F4-B528-1CFBB039C03D}" id="{47A3B36D-FD68-4128-8F9C-C4E77F5B92BD}">
    <text>https://www.unotv.com/salud/confirman-mas-de-3-mil-trasplantes-de-organos-en-2025-cuales-fueron-los-mas-comunes-en-mexico/</text>
    <extLst>
      <x:ext xmlns:xltc2="http://schemas.microsoft.com/office/spreadsheetml/2020/threadedcomments2" uri="{F7C98A9C-CBB3-438F-8F68-D28B6AF4A901}">
        <xltc2:checksum>1768193598</xltc2:checksum>
        <xltc2:hyperlink startIndex="0" length="122" url="https://www.unotv.com/salud/confirman-mas-de-3-mil-trasplantes-de-organos-en-2025-cuales-fueron-los-mas-comunes-en-mexico/"/>
      </x:ext>
    </extLst>
  </threadedComment>
  <threadedComment ref="K4" dT="2026-02-24T18:38:03.21" personId="{FA2479FA-D6EA-44F4-B528-1CFBB039C03D}" id="{84E3F611-E978-48CB-8923-09BE9C999598}">
    <text>Escalado a 12 meses (https://www.radionacional.co/actualidad/salud/dia-mundial-de-la-donacion-de-organos-y-tejidos-2025)</text>
    <extLst>
      <x:ext xmlns:xltc2="http://schemas.microsoft.com/office/spreadsheetml/2020/threadedcomments2" uri="{F7C98A9C-CBB3-438F-8F68-D28B6AF4A901}">
        <xltc2:checksum>2783493563</xltc2:checksum>
        <xltc2:hyperlink startIndex="21" length="98" url="https://www.radionacional.co/actualidad/salud/dia-mundial-de-la-donacion-de-organos-y-tejidos-2025"/>
      </x:ext>
    </extLst>
  </threadedComment>
  <threadedComment ref="L5" dT="2026-02-24T18:26:32.93" personId="{FA2479FA-D6EA-44F4-B528-1CFBB039C03D}" id="{AA7089ED-0215-4D6D-AF56-2EA84380FC59}">
    <text>https://www.argentina.gob.ar/noticias/argentina-supero-la-cifra-historica-de-donantes-de-organos-y-de-trasplantes-realizados-en</text>
    <extLst>
      <x:ext xmlns:xltc2="http://schemas.microsoft.com/office/spreadsheetml/2020/threadedcomments2" uri="{F7C98A9C-CBB3-438F-8F68-D28B6AF4A901}">
        <xltc2:checksum>3485127043</xltc2:checksum>
        <xltc2:hyperlink startIndex="0" length="127" url="https://www.argentina.gob.ar/noticias/argentina-supero-la-cifra-historica-de-donantes-de-organos-y-de-trasplantes-realizados-en"/>
      </x:ext>
    </extLst>
  </threadedComment>
  <threadedComment ref="K6" dT="2026-02-24T18:49:08.18" personId="{FA2479FA-D6EA-44F4-B528-1CFBB039C03D}" id="{8F96D904-1238-4FBE-8D8F-D34E92A1C650}">
    <text>https://www.gob.pe/institucion/minsa/noticias/1318426-minsa-realiza-mas-de-3500-trasplantes-de-organos-y-tejidos-al-2025
https://larepublica.pe/sociedad/2026/01/05/el-reto-de-obtener-un-trasplante-de-organo-en-el-peru-hay-solo-18-donantes-por-millon-a-nivel-nacional-ntpe-84304</text>
    <extLst>
      <x:ext xmlns:xltc2="http://schemas.microsoft.com/office/spreadsheetml/2020/threadedcomments2" uri="{F7C98A9C-CBB3-438F-8F68-D28B6AF4A901}">
        <xltc2:checksum>923869872</xltc2:checksum>
        <xltc2:hyperlink startIndex="0" length="120" url="https://www.gob.pe/institucion/minsa/noticias/1318426-minsa-realiza-mas-de-3500-trasplantes-de-organos-y-tejidos-al-2025"/>
        <xltc2:hyperlink startIndex="122" length="156" url="https://larepublica.pe/sociedad/2026/01/05/el-reto-de-obtener-un-trasplante-de-organo-en-el-peru-hay-solo-18-donantes-por-millon-a-nivel-nacional-ntpe-84304"/>
      </x:ext>
    </extLst>
  </threadedComment>
  <threadedComment ref="G7" dT="2026-02-22T23:37:38.78" personId="{FA2479FA-D6EA-44F4-B528-1CFBB039C03D}" id="{46A9D232-E275-428A-A5AF-A810BADF5B84}">
    <text>el promedio de quirófanos operativos fue de 4 por hospital
https://www.encuestanacionaldehospitales.com/_files/ugd/0f3ae5_d25be9c6114c46f18e2b825aab376c00.pdf</text>
    <extLst>
      <x:ext xmlns:xltc2="http://schemas.microsoft.com/office/spreadsheetml/2020/threadedcomments2" uri="{F7C98A9C-CBB3-438F-8F68-D28B6AF4A901}">
        <xltc2:checksum>116778110</xltc2:checksum>
        <xltc2:hyperlink startIndex="59" length="99" url="https://www.encuestanacionaldehospitales.com/_files/ugd/0f3ae5_d25be9c6114c46f18e2b825aab376c00.pdf"/>
      </x:ext>
    </extLst>
  </threadedComment>
  <threadedComment ref="H7" dT="2026-02-22T23:32:15.37" personId="{FA2479FA-D6EA-44F4-B528-1CFBB039C03D}" id="{13319194-1A92-4A59-93EE-A3AB14CD3D76}">
    <text>0.9 camas por 1000 habitantes
https://saludpublica.mx/index.php/spm/article/view/5048/10031</text>
    <extLst>
      <x:ext xmlns:xltc2="http://schemas.microsoft.com/office/spreadsheetml/2020/threadedcomments2" uri="{F7C98A9C-CBB3-438F-8F68-D28B6AF4A901}">
        <xltc2:checksum>2586201978</xltc2:checksum>
        <xltc2:hyperlink startIndex="30" length="61" url="https://saludpublica.mx/index.php/spm/article/view/5048/10031"/>
      </x:ext>
    </extLst>
  </threadedComment>
  <threadedComment ref="L7" dT="2026-02-24T18:52:58.71" personId="{FA2479FA-D6EA-44F4-B528-1CFBB039C03D}" id="{9ECA97EF-1124-46BD-81EE-12C2E730EB78}">
    <text>Estimado de fuentes - en decrecimiento</text>
  </threadedComment>
  <threadedComment ref="L8" dT="2026-02-25T18:29:52.79" personId="{FA2479FA-D6EA-44F4-B528-1CFBB039C03D}" id="{C9C72A99-D0A5-4130-AAB7-C0DB1C6733C0}">
    <text>2024 https://www.ispch.gob.cl/wp-content/uploads/2025/11/Registro-Nacional-de-Trasplante-Informe-2024.pdf</text>
    <extLst>
      <x:ext xmlns:xltc2="http://schemas.microsoft.com/office/spreadsheetml/2020/threadedcomments2" uri="{F7C98A9C-CBB3-438F-8F68-D28B6AF4A901}">
        <xltc2:checksum>1960290033</xltc2:checksum>
        <xltc2:hyperlink startIndex="5" length="100" url="https://www.ispch.gob.cl/wp-content/uploads/2025/11/Registro-Nacional-de-Trasplante-Informe-2024.pdf"/>
      </x:ext>
    </extLst>
  </threadedComment>
  <threadedComment ref="D9" dT="2026-02-23T00:05:56.42" personId="{FA2479FA-D6EA-44F4-B528-1CFBB039C03D}" id="{881E9A00-21B7-4541-82F3-643220E68ABB}">
    <text>https://www.congreso.gob.gt/noticias_congreso/15217/2026/3</text>
    <extLst>
      <x:ext xmlns:xltc2="http://schemas.microsoft.com/office/spreadsheetml/2020/threadedcomments2" uri="{F7C98A9C-CBB3-438F-8F68-D28B6AF4A901}">
        <xltc2:checksum>1659715057</xltc2:checksum>
        <xltc2:hyperlink startIndex="0" length="58" url="https://www.congreso.gob.gt/noticias_congreso/15217/2026/3"/>
      </x:ext>
    </extLst>
  </threadedComment>
  <threadedComment ref="D9" dT="2026-02-23T00:09:46.23" personId="{FA2479FA-D6EA-44F4-B528-1CFBB039C03D}" id="{F3DB431C-495A-4003-B292-5D6A63AB8A73}" parentId="{881E9A00-21B7-4541-82F3-643220E68ABB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10" dT="2026-02-23T00:42:16.15" personId="{FA2479FA-D6EA-44F4-B528-1CFBB039C03D}" id="{A8B4DC4F-6B25-4CBF-AE8F-124AA327311B}">
    <text>https://www.ecuadorencifras.gob.ec/documentos/web-inec/Estadisticas_Sociales/Camas_Egresos_Hospitalarios/Cam_Egre_Hos_2019/Presentacion%20ECEH_2019.pdf#:~:text=Camas%20disponibles%20En%20el%20Ecuador%2C%20para%20el,un%20total%20de%209.711%20camas%20hospitalarias%20disponibles.</text>
    <extLst>
      <x:ext xmlns:xltc2="http://schemas.microsoft.com/office/spreadsheetml/2020/threadedcomments2" uri="{F7C98A9C-CBB3-438F-8F68-D28B6AF4A901}">
        <xltc2:checksum>2111782376</xltc2:checksum>
        <xltc2:hyperlink startIndex="0" length="276" url="https://www.ecuadorencifras.gob.ec/documentos/web-inec/Estadisticas_Sociales/Camas_Egresos_Hospitalarios/Cam_Egre_Hos_2019/Presentacion%20ECEH_2019.pdf#:~:text=Camas%20disponibles%20En%20el%20Ecuador%2C%20para%20el,un%20total%20de%209.711%20camas%20hospitalarias%20disponibles"/>
      </x:ext>
    </extLst>
  </threadedComment>
  <threadedComment ref="G10" dT="2026-02-23T00:52:35.28" personId="{FA2479FA-D6EA-44F4-B528-1CFBB039C03D}" id="{880D2D91-26F5-41B4-AC38-940D1EF8C3E2}">
    <text>https://www.ecuadorencifras.gob.ec/documentos/web-inec/Estadisticas_Sociales/Recursos_Actividades_de_Salud/RAS%1F_2020/Principales_resultado_RAS_2020.pdf</text>
    <extLst>
      <x:ext xmlns:xltc2="http://schemas.microsoft.com/office/spreadsheetml/2020/threadedcomments2" uri="{F7C98A9C-CBB3-438F-8F68-D28B6AF4A901}">
        <xltc2:checksum>1500448542</xltc2:checksum>
        <xltc2:hyperlink startIndex="0" length="153" url="https://www.ecuadorencifras.gob.ec/documentos/web-inec/Estadisticas_Sociales/Recursos_Actividades_de_Salud/RAS%1F_2020/Principales_resultado_RAS_2020.pdf"/>
      </x:ext>
    </extLst>
  </threadedComment>
  <threadedComment ref="K10" dT="2026-02-25T18:43:13.32" personId="{FA2479FA-D6EA-44F4-B528-1CFBB039C03D}" id="{53B47B52-555C-425B-BB01-99A3F8553272}">
    <text>http://www.donaciontrasplante.gob.ec/indot/wp-content/uploads/2026/01/TRASPLANTES-ENERO-DICIEMBRE-2025.pdf</text>
    <extLst>
      <x:ext xmlns:xltc2="http://schemas.microsoft.com/office/spreadsheetml/2020/threadedcomments2" uri="{F7C98A9C-CBB3-438F-8F68-D28B6AF4A901}">
        <xltc2:checksum>47769714</xltc2:checksum>
        <xltc2:hyperlink startIndex="0" length="106" url="http://www.donaciontrasplante.gob.ec/indot/wp-content/uploads/2026/01/TRASPLANTES-ENERO-DICIEMBRE-2025.pdf"/>
      </x:ext>
    </extLst>
  </threadedComment>
  <threadedComment ref="D11" dT="2026-02-23T01:22:45.46" personId="{FA2479FA-D6EA-44F4-B528-1CFBB039C03D}" id="{9C0175CB-B798-40AE-821D-2A7C75F231BB}">
    <text>https://ahoradigital.net/sociedad/02/05/2020/bolivia-precisa-115-hospitales-mas-para-cumplir-parametros-de-oms/?utm_source=chatgpt.com</text>
    <extLst>
      <x:ext xmlns:xltc2="http://schemas.microsoft.com/office/spreadsheetml/2020/threadedcomments2" uri="{F7C98A9C-CBB3-438F-8F68-D28B6AF4A901}">
        <xltc2:checksum>1434320370</xltc2:checksum>
        <xltc2:hyperlink startIndex="0" length="134" url="https://ahoradigital.net/sociedad/02/05/2020/bolivia-precisa-115-hospitales-mas-para-cumplir-parametros-de-oms/?utm_source=chatgpt.com"/>
      </x:ext>
    </extLst>
  </threadedComment>
  <threadedComment ref="H11" dT="2026-02-23T01:25:00.46" personId="{FA2479FA-D6EA-44F4-B528-1CFBB039C03D}" id="{250C1EE4-0660-49B8-B717-49B513BECCDD}">
    <text>https://es.wikipedia.org/wiki/Sistema_de_Salud_de_Bolivia</text>
    <extLst>
      <x:ext xmlns:xltc2="http://schemas.microsoft.com/office/spreadsheetml/2020/threadedcomments2" uri="{F7C98A9C-CBB3-438F-8F68-D28B6AF4A901}">
        <xltc2:checksum>630368078</xltc2:checksum>
        <xltc2:hyperlink startIndex="0" length="57" url="https://es.wikipedia.org/wiki/Sistema_de_Salud_de_Bolivia"/>
      </x:ext>
    </extLst>
  </threadedComment>
  <threadedComment ref="I11" dT="2026-02-21T16:36:20.52" personId="{FA2479FA-D6EA-44F4-B528-1CFBB039C03D}" id="{BB2A534A-5CB2-4499-9993-DB610F7B5D3A}">
    <text>https://efe.com/salud/2025-02-06/medicos-latinos-cirugia-robotica-brasil/</text>
    <extLst>
      <x:ext xmlns:xltc2="http://schemas.microsoft.com/office/spreadsheetml/2020/threadedcomments2" uri="{F7C98A9C-CBB3-438F-8F68-D28B6AF4A901}">
        <xltc2:checksum>1147983003</xltc2:checksum>
        <xltc2:hyperlink startIndex="0" length="73" url="https://efe.com/salud/2025-02-06/medicos-latinos-cirugia-robotica-brasil/"/>
      </x:ext>
    </extLst>
  </threadedComment>
  <threadedComment ref="L11" dT="2026-02-25T19:06:03.11" personId="{FA2479FA-D6EA-44F4-B528-1CFBB039C03D}" id="{3571A4DC-B8CF-4E0E-ABF2-B8DDBD2ED14E}">
    <text>Estiman 5-6 mensuales https://www.minsalud.gob.bo/8098-salud-reactiva-con-exito-trasplantes-renales-gratuitos-en-santa-cruz</text>
    <extLst>
      <x:ext xmlns:xltc2="http://schemas.microsoft.com/office/spreadsheetml/2020/threadedcomments2" uri="{F7C98A9C-CBB3-438F-8F68-D28B6AF4A901}">
        <xltc2:checksum>2707602079</xltc2:checksum>
        <xltc2:hyperlink startIndex="22" length="101" url="https://www.minsalud.gob.bo/8098-salud-reactiva-con-exito-trasplantes-renales-gratuitos-en-santa-cruz"/>
      </x:ext>
    </extLst>
  </threadedComment>
  <threadedComment ref="H12" dT="2026-02-23T01:37:18.24" personId="{FA2479FA-D6EA-44F4-B528-1CFBB039C03D}" id="{BBE11827-2663-46DB-8757-47630C317060}">
    <text>7 camas cada 10.000 habitantes https://www.scielo.org.mx/scielo.php?script=sci_arttext&amp;pid=S0036-36342020000300298#:~:text=Hait%C3%AD%20contaba%20en%202016%20con,y%20centros%20de%20salud%20comunitarios.</text>
    <extLst>
      <x:ext xmlns:xltc2="http://schemas.microsoft.com/office/spreadsheetml/2020/threadedcomments2" uri="{F7C98A9C-CBB3-438F-8F68-D28B6AF4A901}">
        <xltc2:checksum>3902860888</xltc2:checksum>
        <xltc2:hyperlink startIndex="31" length="170" url="https://www.scielo.org.mx/scielo.php?script=sci_arttext&amp;pid=S0036-36342020000300298#:~:text=Hait%C3%AD%20contaba%20en%202016%20con,y%20centros%20de%20salud%20comunitarios"/>
      </x:ext>
    </extLst>
  </threadedComment>
  <threadedComment ref="H12" dT="2026-02-23T01:44:13.45" personId="{FA2479FA-D6EA-44F4-B528-1CFBB039C03D}" id="{094F8775-1747-4DCC-A85B-AC7452A96B2E}" parentId="{BBE11827-2663-46DB-8757-47630C317060}">
    <text>https://pmc.ncbi.nlm.nih.gov/articles/PMC12754797/#:~:text=La%20Evaluaci%C3%B3n%20de%20la%20Prestaci%C3%B3n,ilustra%20en%20la%20Figura%202%20.</text>
    <extLst>
      <x:ext xmlns:xltc2="http://schemas.microsoft.com/office/spreadsheetml/2020/threadedcomments2" uri="{F7C98A9C-CBB3-438F-8F68-D28B6AF4A901}">
        <xltc2:checksum>3412663499</xltc2:checksum>
        <xltc2:hyperlink startIndex="0" length="141" url="https://pmc.ncbi.nlm.nih.gov/articles/PMC12754797/#:~:text=La%20Evaluaci%C3%B3n%20de%20la%20Prestaci%C3%B3n,ilustra%20en%20la%20Figura%202%20"/>
      </x:ext>
    </extLst>
  </threadedComment>
  <threadedComment ref="D13" dT="2026-02-23T01:52:47.35" personId="{FA2479FA-D6EA-44F4-B528-1CFBB039C03D}" id="{F01DF7E3-3283-4D35-BEB2-2C84C0E5CAB7}">
    <text>https://www.scielo.org.mx/scielo.php?script=sci_arttext&amp;pid=S0036-36342011000800012#:~:text=La%20asistencia%20m%C3%A9dica%20se%20brinda,centros%20laborales%20y%20centros%20educacionales.</text>
    <extLst>
      <x:ext xmlns:xltc2="http://schemas.microsoft.com/office/spreadsheetml/2020/threadedcomments2" uri="{F7C98A9C-CBB3-438F-8F68-D28B6AF4A901}">
        <xltc2:checksum>1329099781</xltc2:checksum>
        <xltc2:hyperlink startIndex="0" length="185" url="https://www.scielo.org.mx/scielo.php?script=sci_arttext&amp;pid=S0036-36342011000800012#:~:text=La%20asistencia%20m%C3%A9dica%20se%20brinda,centros%20laborales%20y%20centros%20educacionales"/>
      </x:ext>
    </extLst>
  </threadedComment>
  <threadedComment ref="H13" dT="2026-02-22T23:46:53.57" personId="{FA2479FA-D6EA-44F4-B528-1CFBB039C03D}" id="{EA889E17-0CBD-461E-84E7-D837E7B0DB85}">
    <text>https://es.wikipedia.org/wiki/Anexo:Indicadores_de_salud_en_Latinoam%C3%A9rica</text>
    <extLst>
      <x:ext xmlns:xltc2="http://schemas.microsoft.com/office/spreadsheetml/2020/threadedcomments2" uri="{F7C98A9C-CBB3-438F-8F68-D28B6AF4A901}">
        <xltc2:checksum>4188489109</xltc2:checksum>
        <xltc2:hyperlink startIndex="0" length="78" url="https://es.wikipedia.org/wiki/Anexo:Indicadores_de_salud_en_Latinoam%C3%A9rica"/>
      </x:ext>
    </extLst>
  </threadedComment>
  <threadedComment ref="E14" dT="2026-02-23T02:00:17.96" personId="{FA2479FA-D6EA-44F4-B528-1CFBB039C03D}" id="{02638B32-64C1-4D25-9D61-13A19BDCDC44}">
    <text>https://listindiario.com/la-republica/sector-salud/20250108/poblacion-dominicana-prefiere-centros-salud-privados_840522.html</text>
    <extLst>
      <x:ext xmlns:xltc2="http://schemas.microsoft.com/office/spreadsheetml/2020/threadedcomments2" uri="{F7C98A9C-CBB3-438F-8F68-D28B6AF4A901}">
        <xltc2:checksum>1787151713</xltc2:checksum>
        <xltc2:hyperlink startIndex="0" length="124" url="https://listindiario.com/la-republica/sector-salud/20250108/poblacion-dominicana-prefiere-centros-salud-privados_840522.html"/>
      </x:ext>
    </extLst>
  </threadedComment>
  <threadedComment ref="H14" dT="2026-02-23T02:03:00.07" personId="{FA2479FA-D6EA-44F4-B528-1CFBB039C03D}" id="{E100E53A-8270-441C-A6BE-41BC617FBC06}">
    <text>https://www.facebook.com/informandord/posts/la-red-de-hospitales-p%C3%BAblicos-y-privados-de-la-rep%C3%BAblica-dominicana-dispone-de-1/3025258607798500/</text>
    <extLst>
      <x:ext xmlns:xltc2="http://schemas.microsoft.com/office/spreadsheetml/2020/threadedcomments2" uri="{F7C98A9C-CBB3-438F-8F68-D28B6AF4A901}">
        <xltc2:checksum>1085937218</xltc2:checksum>
        <xltc2:hyperlink startIndex="0" length="152" url="https://www.facebook.com/informandord/posts/la-red-de-hospitales-p%C3%BAblicos-y-privados-de-la-rep%C3%BAblica-dominicana-dispone-de-1/3025258607798500/"/>
      </x:ext>
    </extLst>
  </threadedComment>
  <threadedComment ref="K14" dT="2026-02-25T19:02:43.34" personId="{FA2479FA-D6EA-44F4-B528-1CFBB039C03D}" id="{8FA7669C-F477-478F-AB66-CCADF25C1BD7}">
    <text>https://acento.com.do/salud/hasta-octubre-se-han-realizado-38-trasplantes-de-rinon-en-el-pais-9585039.html?fbclid=IwY2xjawQMJWNleHRuA2FlbQIxMABicmlkETJINHNDQ3dQcDRTdmNLb0Rqc3J0YwZhcHBfaWQQMjIyMDM5MTc4ODIwMDg5MgABHsKnUL1MuMscCyjMmly-Lwq-s-7jF4uViUg2TWIkATTTyVdJT89VVw9NJiNY_aem_OeSJq-sHa5hbxpVr_jyVmg</text>
    <extLst>
      <x:ext xmlns:xltc2="http://schemas.microsoft.com/office/spreadsheetml/2020/threadedcomments2" uri="{F7C98A9C-CBB3-438F-8F68-D28B6AF4A901}">
        <xltc2:checksum>2174576906</xltc2:checksum>
        <xltc2:hyperlink startIndex="0" length="299" url="https://acento.com.do/salud/hasta-octubre-se-han-realizado-38-trasplantes-de-rinon-en-el-pais-9585039.html?fbclid=IwY2xjawQMJWNleHRuA2FlbQIxMABicmlkETJINHNDQ3dQcDRTdmNLb0Rqc3J0YwZhcHBfaWQQMjIyMDM5MTc4ODIwMDg5MgABHsKnUL1MuMscCyjMmly-Lwq-s-7jF4uViUg2TWIkATTTyVdJT89VVw9NJiNY_aem_OeSJq-sHa5hbxpVr_jyVmg"/>
      </x:ext>
    </extLst>
  </threadedComment>
  <threadedComment ref="D15" dT="2026-02-23T00:13:01.80" personId="{FA2479FA-D6EA-44F4-B528-1CFBB039C03D}" id="{39FC67D3-699B-493A-8F78-23EEDF03846E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16" dT="2026-02-23T00:10:45.98" personId="{FA2479FA-D6EA-44F4-B528-1CFBB039C03D}" id="{E40ABA8F-F40E-4B91-8F3C-B60C529F8D3A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D17" dT="2026-02-23T00:10:03.06" personId="{FA2479FA-D6EA-44F4-B528-1CFBB039C03D}" id="{BE193559-1B73-4EAE-9C2B-C1FE6C71D526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L18" dT="2026-02-25T19:32:02.90" personId="{FA2479FA-D6EA-44F4-B528-1CFBB039C03D}" id="{9054BB77-5D86-442F-A97F-D6FD743DDFAA}">
    <text>https://www.lanacion.com.py/pais/2026/01/16/el-2025-cerro-con-163-pacientes-trasplantados-y-en-lista-de-espera-287-personas/#:~:text=2026%2C%207:26-,El%202025%20cerr%C3%B3%20con%20163%20pacientes%20trasplantados,lista%20de%20espera%20287%20personas&amp;text=Durante%20el%202025%20se%20llevaron,tambi%C3%A9n%20benefici%C3%B3%20a%205%20ni%C3%B1os.&amp;text=semana%2C%20seg%C3%BAn%20Meteorolog%C3%ADa-,En%20cuanto%20a%20pacientes%20en%20lista%20de%20espera%2C%20de%20los,4%20de%20la%20franja%20infantil.</text>
    <extLst>
      <x:ext xmlns:xltc2="http://schemas.microsoft.com/office/spreadsheetml/2020/threadedcomments2" uri="{F7C98A9C-CBB3-438F-8F68-D28B6AF4A901}">
        <xltc2:checksum>1572190854</xltc2:checksum>
        <xltc2:hyperlink startIndex="0" length="491" url="https://www.lanacion.com.py/pais/2026/01/16/el-2025-cerro-con-163-pacientes-trasplantados-y-en-lista-de-espera-287-personas/#:~:text=2026%2C%207:26-,El%202025%20cerr%C3%B3%20con%20163%20pacientes%20trasplantados,lista%20de%20espera%20287%20personas&amp;text=Durante%20el%202025%20se%20llevaron,tambi%C3%A9n%20benefici%C3%B3%20a%205%20ni%C3%B1os.&amp;text=semana%2C%20seg%C3%BAn%20Meteorolog%C3%ADa-,En%20cuanto%20a%20pacientes%20en%20lista%20de%20espera%2C%20de%20los,4%20de%20la%20franja%20infantil"/>
      </x:ext>
    </extLst>
  </threadedComment>
  <threadedComment ref="D19" dT="2026-02-23T00:10:07.00" personId="{FA2479FA-D6EA-44F4-B528-1CFBB039C03D}" id="{9AB20693-2265-4837-A6D5-3A0AF10B2D83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K19" dT="2026-02-25T19:39:34.81" personId="{FA2479FA-D6EA-44F4-B528-1CFBB039C03D}" id="{9ABD31D9-00B7-47E5-AA62-89FC2F03CF3F}">
    <text>2024
https://crhoy.com/nacionales/trasplantes-de-organos-crecieron-entre-un-38-y-un-100-el-ultimo-ano/</text>
    <extLst>
      <x:ext xmlns:xltc2="http://schemas.microsoft.com/office/spreadsheetml/2020/threadedcomments2" uri="{F7C98A9C-CBB3-438F-8F68-D28B6AF4A901}">
        <xltc2:checksum>1265435804</xltc2:checksum>
        <xltc2:hyperlink startIndex="5" length="97" url="https://crhoy.com/nacionales/trasplantes-de-organos-crecieron-entre-un-38-y-un-100-el-ultimo-ano/"/>
      </x:ext>
    </extLst>
  </threadedComment>
  <threadedComment ref="D20" dT="2026-02-23T00:13:08.91" personId="{FA2479FA-D6EA-44F4-B528-1CFBB039C03D}" id="{12303419-FC73-4D2F-90EA-3FA9F69C0BEC}">
    <text>https://www.centroamerica360.com/region/guatemala-es-el-pais-centroamericano-con-mayor-numero-de-hospitales-publicos/?utm_source=chatgpt.com</text>
    <extLst>
      <x:ext xmlns:xltc2="http://schemas.microsoft.com/office/spreadsheetml/2020/threadedcomments2" uri="{F7C98A9C-CBB3-438F-8F68-D28B6AF4A901}">
        <xltc2:checksum>2013616607</xltc2:checksum>
        <xltc2:hyperlink startIndex="0" length="140" url="https://www.centroamerica360.com/region/guatemala-es-el-pais-centroamericano-con-mayor-numero-de-hospitales-publicos/?utm_source=chatgpt.com"/>
      </x:ext>
    </extLst>
  </threadedComment>
  <threadedComment ref="L20" dT="2026-02-25T19:41:12.57" personId="{FA2479FA-D6EA-44F4-B528-1CFBB039C03D}" id="{C90C2EB9-A539-479D-A39A-F3AC6CE7CA2A}">
    <text>https://www.instagram.com/p/DFWg2zTtASE/</text>
    <extLst>
      <x:ext xmlns:xltc2="http://schemas.microsoft.com/office/spreadsheetml/2020/threadedcomments2" uri="{F7C98A9C-CBB3-438F-8F68-D28B6AF4A901}">
        <xltc2:checksum>3134256938</xltc2:checksum>
        <xltc2:hyperlink startIndex="0" length="40" url="https://www.instagram.com/p/DFWg2zTtASE/"/>
      </x:ext>
    </extLst>
  </threadedComment>
  <threadedComment ref="D21" dT="2026-02-23T00:20:34.82" personId="{FA2479FA-D6EA-44F4-B528-1CFBB039C03D}" id="{5C31CCF8-190C-469B-961F-B03256C326FA}">
    <text>2002 https://es.scribd.com/document/873539516/Sistemas-de-salud-de-la-Republica-del-Uruguay</text>
    <extLst>
      <x:ext xmlns:xltc2="http://schemas.microsoft.com/office/spreadsheetml/2020/threadedcomments2" uri="{F7C98A9C-CBB3-438F-8F68-D28B6AF4A901}">
        <xltc2:checksum>828164746</xltc2:checksum>
        <xltc2:hyperlink startIndex="5" length="86" url="https://es.scribd.com/document/873539516/Sistemas-de-salud-de-la-Republica-del-Uruguay"/>
      </x:ext>
    </extLst>
  </threadedComment>
  <threadedComment ref="K21" dT="2026-02-25T19:20:42.85" personId="{FA2479FA-D6EA-44F4-B528-1CFBB039C03D}" id="{2FF1FA28-4DBA-4155-BFB1-4AB7EB5AF633}">
    <text>elpais.com.uy/informacion/salud/leve-suba-de-trasplantes-de-organos-en-2025-y-nuevo-incremento-en-la-lista-de-espera-segun-datos-oficiales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D694-2906-434B-A17C-0F00A587440C}">
  <dimension ref="A1:M23"/>
  <sheetViews>
    <sheetView tabSelected="1" zoomScale="70" zoomScaleNormal="70" workbookViewId="0">
      <selection activeCell="K27" sqref="K27"/>
    </sheetView>
  </sheetViews>
  <sheetFormatPr baseColWidth="10" defaultColWidth="8.7265625" defaultRowHeight="14.5" x14ac:dyDescent="0.35"/>
  <cols>
    <col min="2" max="2" width="14.36328125" bestFit="1" customWidth="1"/>
    <col min="3" max="3" width="9.7265625" customWidth="1"/>
    <col min="4" max="4" width="17.7265625" bestFit="1" customWidth="1"/>
    <col min="5" max="5" width="12.81640625" bestFit="1" customWidth="1"/>
    <col min="6" max="6" width="13.08984375" bestFit="1" customWidth="1"/>
    <col min="7" max="7" width="14.54296875" bestFit="1" customWidth="1"/>
    <col min="8" max="8" width="17.90625" bestFit="1" customWidth="1"/>
    <col min="9" max="9" width="22.90625" customWidth="1"/>
    <col min="10" max="10" width="24.7265625" style="1" bestFit="1" customWidth="1"/>
    <col min="11" max="11" width="27" bestFit="1" customWidth="1"/>
    <col min="12" max="12" width="32.7265625" bestFit="1" customWidth="1"/>
  </cols>
  <sheetData>
    <row r="1" spans="1:12" x14ac:dyDescent="0.35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32</v>
      </c>
      <c r="K1" s="1" t="s">
        <v>30</v>
      </c>
      <c r="L1" s="1" t="s">
        <v>31</v>
      </c>
    </row>
    <row r="2" spans="1:12" x14ac:dyDescent="0.35">
      <c r="B2" t="s">
        <v>8</v>
      </c>
      <c r="D2">
        <v>6518</v>
      </c>
      <c r="E2" s="2">
        <f>0.38*D2</f>
        <v>2476.84</v>
      </c>
      <c r="F2" s="2">
        <f>D2-E2</f>
        <v>4041.16</v>
      </c>
      <c r="G2">
        <v>28847</v>
      </c>
      <c r="H2" s="2">
        <v>374565</v>
      </c>
      <c r="I2" s="7" t="s">
        <v>9</v>
      </c>
      <c r="J2">
        <v>1525543.5749411278</v>
      </c>
      <c r="K2" s="2">
        <v>30300</v>
      </c>
      <c r="L2" s="5">
        <v>6320</v>
      </c>
    </row>
    <row r="3" spans="1:12" x14ac:dyDescent="0.35">
      <c r="B3" t="s">
        <v>10</v>
      </c>
      <c r="D3">
        <v>3594</v>
      </c>
      <c r="E3" s="2">
        <f>D3*0.36</f>
        <v>1293.8399999999999</v>
      </c>
      <c r="F3" s="2">
        <f t="shared" ref="F3:F8" si="0">D3-E3</f>
        <v>2300.16</v>
      </c>
      <c r="G3">
        <v>7840</v>
      </c>
      <c r="H3">
        <v>171603</v>
      </c>
      <c r="I3" s="7" t="s">
        <v>9</v>
      </c>
      <c r="J3">
        <v>2423673.2136395276</v>
      </c>
      <c r="K3" s="2">
        <v>3084</v>
      </c>
      <c r="L3">
        <v>2783</v>
      </c>
    </row>
    <row r="4" spans="1:12" x14ac:dyDescent="0.35">
      <c r="B4" t="s">
        <v>11</v>
      </c>
      <c r="D4">
        <v>2575</v>
      </c>
      <c r="E4">
        <f>D4*0.5</f>
        <v>1287.5</v>
      </c>
      <c r="F4" s="2">
        <f t="shared" si="0"/>
        <v>1287.5</v>
      </c>
      <c r="G4">
        <v>3084</v>
      </c>
      <c r="H4">
        <v>84967</v>
      </c>
      <c r="I4" s="7" t="s">
        <v>9</v>
      </c>
      <c r="J4">
        <v>312828.59277273715</v>
      </c>
      <c r="K4" s="2">
        <f>1042/9*12</f>
        <v>1389.3333333333333</v>
      </c>
      <c r="L4">
        <f>684/9*12</f>
        <v>912</v>
      </c>
    </row>
    <row r="5" spans="1:12" x14ac:dyDescent="0.35">
      <c r="B5" t="s">
        <v>12</v>
      </c>
      <c r="D5" s="2">
        <v>2405</v>
      </c>
      <c r="E5" s="2">
        <f>D5*0.49</f>
        <v>1178.45</v>
      </c>
      <c r="F5" s="2">
        <f t="shared" si="0"/>
        <v>1226.55</v>
      </c>
      <c r="G5" s="2">
        <v>3750</v>
      </c>
      <c r="H5" s="2">
        <v>128965</v>
      </c>
      <c r="I5" s="7" t="s">
        <v>9</v>
      </c>
      <c r="J5">
        <v>360594.90618614387</v>
      </c>
      <c r="K5" s="2">
        <v>4497</v>
      </c>
      <c r="L5" s="5">
        <v>1674</v>
      </c>
    </row>
    <row r="6" spans="1:12" x14ac:dyDescent="0.35">
      <c r="B6" t="s">
        <v>13</v>
      </c>
      <c r="D6">
        <v>852</v>
      </c>
      <c r="E6">
        <f>D6*0.55</f>
        <v>468.6</v>
      </c>
      <c r="F6" s="2">
        <f t="shared" si="0"/>
        <v>383.4</v>
      </c>
      <c r="G6">
        <v>1311</v>
      </c>
      <c r="H6">
        <v>37109</v>
      </c>
      <c r="I6" s="7" t="s">
        <v>9</v>
      </c>
      <c r="J6">
        <v>220551.17800311829</v>
      </c>
      <c r="K6" s="2">
        <v>474</v>
      </c>
      <c r="L6">
        <f>164+69</f>
        <v>233</v>
      </c>
    </row>
    <row r="7" spans="1:12" x14ac:dyDescent="0.35">
      <c r="B7" t="s">
        <v>14</v>
      </c>
      <c r="C7">
        <v>28464251</v>
      </c>
      <c r="D7">
        <f>SUM(E7:F7)</f>
        <v>640</v>
      </c>
      <c r="E7">
        <v>296</v>
      </c>
      <c r="F7" s="2">
        <v>344</v>
      </c>
      <c r="G7">
        <f>D7*4</f>
        <v>2560</v>
      </c>
      <c r="H7" s="2">
        <f>C7/1000*0.9</f>
        <v>25617.8259</v>
      </c>
      <c r="I7" s="7" t="s">
        <v>15</v>
      </c>
      <c r="J7">
        <v>538619.56595292222</v>
      </c>
      <c r="L7">
        <v>100</v>
      </c>
    </row>
    <row r="8" spans="1:12" x14ac:dyDescent="0.35">
      <c r="B8" t="s">
        <v>16</v>
      </c>
      <c r="D8">
        <v>419</v>
      </c>
      <c r="E8" s="2">
        <f>D8*0.47</f>
        <v>196.92999999999998</v>
      </c>
      <c r="F8" s="2">
        <f t="shared" si="0"/>
        <v>222.07000000000002</v>
      </c>
      <c r="G8">
        <v>1495</v>
      </c>
      <c r="H8">
        <v>46598</v>
      </c>
      <c r="I8" s="7" t="s">
        <v>9</v>
      </c>
      <c r="J8">
        <v>114097.95873968536</v>
      </c>
      <c r="K8" s="2">
        <v>675</v>
      </c>
      <c r="L8">
        <v>314</v>
      </c>
    </row>
    <row r="9" spans="1:12" x14ac:dyDescent="0.35">
      <c r="B9" t="s">
        <v>17</v>
      </c>
      <c r="D9" s="2">
        <f>SUM(E9:F9)</f>
        <v>55</v>
      </c>
      <c r="E9" s="2">
        <v>40</v>
      </c>
      <c r="F9" s="2">
        <v>15</v>
      </c>
      <c r="I9" s="7" t="s">
        <v>15</v>
      </c>
      <c r="J9">
        <v>264821.81064741564</v>
      </c>
    </row>
    <row r="10" spans="1:12" x14ac:dyDescent="0.35">
      <c r="B10" t="s">
        <v>18</v>
      </c>
      <c r="D10">
        <v>633</v>
      </c>
      <c r="E10">
        <v>183</v>
      </c>
      <c r="F10">
        <v>450</v>
      </c>
      <c r="G10">
        <f>721+734+51</f>
        <v>1506</v>
      </c>
      <c r="H10">
        <f>14343+9711</f>
        <v>24054</v>
      </c>
      <c r="I10" s="7" t="s">
        <v>9</v>
      </c>
      <c r="J10">
        <v>163883.19742375519</v>
      </c>
      <c r="K10" s="2">
        <v>719</v>
      </c>
      <c r="L10">
        <v>142</v>
      </c>
    </row>
    <row r="11" spans="1:12" x14ac:dyDescent="0.35">
      <c r="B11" t="s">
        <v>19</v>
      </c>
      <c r="C11">
        <v>11365333</v>
      </c>
      <c r="D11">
        <f>238+79</f>
        <v>317</v>
      </c>
      <c r="E11">
        <f>78+34</f>
        <v>112</v>
      </c>
      <c r="F11" s="2">
        <v>160</v>
      </c>
      <c r="H11" s="2">
        <f>C11/1000*1.28</f>
        <v>14547.626240000001</v>
      </c>
      <c r="I11" s="7" t="s">
        <v>15</v>
      </c>
      <c r="J11">
        <v>165348.74201956112</v>
      </c>
      <c r="L11">
        <f>6*12</f>
        <v>72</v>
      </c>
    </row>
    <row r="12" spans="1:12" x14ac:dyDescent="0.35">
      <c r="B12" t="s">
        <v>20</v>
      </c>
      <c r="C12">
        <v>11772557</v>
      </c>
      <c r="D12">
        <v>131</v>
      </c>
      <c r="H12" s="2">
        <f>C12/10000*7</f>
        <v>8240.7898999999998</v>
      </c>
      <c r="I12" s="7" t="s">
        <v>15</v>
      </c>
      <c r="J12">
        <v>122669.61318754777</v>
      </c>
    </row>
    <row r="13" spans="1:12" x14ac:dyDescent="0.35">
      <c r="B13" t="s">
        <v>21</v>
      </c>
      <c r="C13">
        <v>9748007</v>
      </c>
      <c r="D13">
        <v>219</v>
      </c>
      <c r="E13">
        <v>219</v>
      </c>
      <c r="F13" s="2">
        <v>0</v>
      </c>
      <c r="H13" s="2">
        <f>C13/1000*4.2</f>
        <v>40941.629399999998</v>
      </c>
      <c r="I13" s="7" t="s">
        <v>15</v>
      </c>
      <c r="J13">
        <v>122669.61318754777</v>
      </c>
    </row>
    <row r="14" spans="1:12" x14ac:dyDescent="0.35">
      <c r="B14" t="s">
        <v>22</v>
      </c>
      <c r="D14">
        <f>SUM(E14:F14)</f>
        <v>431</v>
      </c>
      <c r="E14">
        <v>195</v>
      </c>
      <c r="F14">
        <v>236</v>
      </c>
      <c r="H14" s="2">
        <f>100*1532/60</f>
        <v>2553.3333333333335</v>
      </c>
      <c r="I14" s="7" t="s">
        <v>15</v>
      </c>
      <c r="J14">
        <v>124041.31736854624</v>
      </c>
      <c r="K14">
        <f>(18+268+13+3+38)/10*12</f>
        <v>408</v>
      </c>
      <c r="L14" s="2">
        <f>(18+38)/10*12</f>
        <v>67.199999999999989</v>
      </c>
    </row>
    <row r="15" spans="1:12" x14ac:dyDescent="0.35">
      <c r="B15" t="s">
        <v>23</v>
      </c>
      <c r="D15">
        <f>SUM(E15:F15)</f>
        <v>50</v>
      </c>
      <c r="E15">
        <v>35</v>
      </c>
      <c r="F15">
        <v>15</v>
      </c>
      <c r="I15" s="7" t="s">
        <v>15</v>
      </c>
      <c r="J15">
        <v>77794.913740873715</v>
      </c>
      <c r="L15" s="3"/>
    </row>
    <row r="16" spans="1:12" x14ac:dyDescent="0.35">
      <c r="B16" t="s">
        <v>24</v>
      </c>
      <c r="D16">
        <f>SUM(E16:F16)</f>
        <v>40</v>
      </c>
      <c r="E16">
        <v>30</v>
      </c>
      <c r="F16">
        <v>10</v>
      </c>
      <c r="I16" s="7" t="s">
        <v>15</v>
      </c>
      <c r="J16">
        <v>130258.66166890692</v>
      </c>
    </row>
    <row r="17" spans="2:13" x14ac:dyDescent="0.35">
      <c r="B17" t="s">
        <v>25</v>
      </c>
      <c r="D17">
        <f>SUM(E17:F17)</f>
        <v>50</v>
      </c>
      <c r="E17">
        <v>30</v>
      </c>
      <c r="F17">
        <v>20</v>
      </c>
      <c r="I17" s="7" t="s">
        <v>9</v>
      </c>
      <c r="J17">
        <v>143237.31005015038</v>
      </c>
    </row>
    <row r="18" spans="2:13" x14ac:dyDescent="0.35">
      <c r="B18" t="s">
        <v>26</v>
      </c>
      <c r="I18" s="7" t="s">
        <v>15</v>
      </c>
      <c r="J18">
        <v>55548.401140821588</v>
      </c>
      <c r="K18">
        <v>163</v>
      </c>
      <c r="L18">
        <v>32</v>
      </c>
    </row>
    <row r="19" spans="2:13" x14ac:dyDescent="0.35">
      <c r="B19" t="s">
        <v>27</v>
      </c>
      <c r="D19">
        <f>SUM(E19:F19)</f>
        <v>70</v>
      </c>
      <c r="E19">
        <v>30</v>
      </c>
      <c r="F19">
        <v>40</v>
      </c>
      <c r="I19" s="7" t="s">
        <v>9</v>
      </c>
      <c r="J19">
        <v>66589.274035383758</v>
      </c>
      <c r="K19">
        <v>85</v>
      </c>
      <c r="L19">
        <v>44</v>
      </c>
    </row>
    <row r="20" spans="2:13" x14ac:dyDescent="0.35">
      <c r="B20" t="s">
        <v>28</v>
      </c>
      <c r="D20">
        <f>SUM(E20:F20)</f>
        <v>65</v>
      </c>
      <c r="E20">
        <v>25</v>
      </c>
      <c r="F20">
        <v>40</v>
      </c>
      <c r="I20" s="7" t="s">
        <v>9</v>
      </c>
      <c r="J20">
        <v>66589.274035383758</v>
      </c>
      <c r="L20">
        <v>48</v>
      </c>
    </row>
    <row r="21" spans="2:13" x14ac:dyDescent="0.35">
      <c r="B21" t="s">
        <v>29</v>
      </c>
      <c r="D21">
        <v>107</v>
      </c>
      <c r="E21">
        <v>58</v>
      </c>
      <c r="F21">
        <v>48</v>
      </c>
      <c r="H21">
        <v>6695</v>
      </c>
      <c r="I21" s="7" t="s">
        <v>9</v>
      </c>
      <c r="J21">
        <v>66589.274035383758</v>
      </c>
      <c r="K21">
        <v>163</v>
      </c>
      <c r="L21">
        <v>125</v>
      </c>
    </row>
    <row r="22" spans="2:13" x14ac:dyDescent="0.35">
      <c r="L22" s="5">
        <f>SUM(L2:L21)</f>
        <v>12866.2</v>
      </c>
    </row>
    <row r="23" spans="2:13" ht="15.5" x14ac:dyDescent="0.35">
      <c r="B23" s="4"/>
      <c r="L23" s="6"/>
      <c r="M23" s="6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Priscila Gutierrez Sidoli</cp:lastModifiedBy>
  <dcterms:created xsi:type="dcterms:W3CDTF">2026-02-23T03:56:47Z</dcterms:created>
  <dcterms:modified xsi:type="dcterms:W3CDTF">2026-03-03T17:36:05Z</dcterms:modified>
</cp:coreProperties>
</file>